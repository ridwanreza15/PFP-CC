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Work\PFP-CC\Example 2 Phase Heuristic\"/>
    </mc:Choice>
  </mc:AlternateContent>
  <xr:revisionPtr revIDLastSave="0" documentId="13_ncr:1_{12EFD26E-257C-4EDC-826B-E5D62D5ADDE6}" xr6:coauthVersionLast="47" xr6:coauthVersionMax="47" xr10:uidLastSave="{00000000-0000-0000-0000-000000000000}"/>
  <bookViews>
    <workbookView xWindow="-135" yWindow="-135" windowWidth="29070" windowHeight="17550" xr2:uid="{00000000-000D-0000-FFFF-FFFF00000000}"/>
  </bookViews>
  <sheets>
    <sheet name="Example" sheetId="38" r:id="rId1"/>
    <sheet name="Var Explanation" sheetId="4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8" l="1"/>
  <c r="O4" i="38"/>
  <c r="O5" i="38"/>
  <c r="O6" i="38"/>
  <c r="O7" i="38"/>
  <c r="O8" i="38"/>
  <c r="O9" i="38"/>
  <c r="O10" i="38"/>
  <c r="O11" i="38"/>
  <c r="O2" i="38"/>
  <c r="A3" i="38" l="1"/>
  <c r="N2" i="38"/>
  <c r="N3" i="38"/>
  <c r="N4" i="38"/>
  <c r="N5" i="38"/>
  <c r="N6" i="38"/>
  <c r="N7" i="38"/>
  <c r="N8" i="38"/>
  <c r="N9" i="38"/>
  <c r="N10" i="38"/>
  <c r="N11" i="38"/>
  <c r="A4" i="38" l="1"/>
  <c r="A5" i="38" l="1"/>
  <c r="A6" i="38" l="1"/>
  <c r="A7" i="38" l="1"/>
  <c r="A8" i="38" l="1"/>
  <c r="A9" i="38" l="1"/>
  <c r="A10" i="38" l="1"/>
  <c r="A11" i="38" l="1"/>
</calcChain>
</file>

<file path=xl/sharedStrings.xml><?xml version="1.0" encoding="utf-8"?>
<sst xmlns="http://schemas.openxmlformats.org/spreadsheetml/2006/main" count="53" uniqueCount="50">
  <si>
    <t>seed</t>
  </si>
  <si>
    <t>Weight of obj. Energy</t>
  </si>
  <si>
    <t>Weight of obj. Time</t>
  </si>
  <si>
    <t>Number of Vehicles</t>
  </si>
  <si>
    <t>%of follower energy reduction</t>
  </si>
  <si>
    <t>Maximum Platoon Size</t>
  </si>
  <si>
    <t>Charging Slot Size (minute)</t>
  </si>
  <si>
    <t>Charging Capacity</t>
  </si>
  <si>
    <t>Fraction of Long Distance Vehicle</t>
  </si>
  <si>
    <t>Charging point frequency</t>
  </si>
  <si>
    <t>Average Distance</t>
  </si>
  <si>
    <t>Due Window Length</t>
  </si>
  <si>
    <t>Parameter Description and Data Source</t>
  </si>
  <si>
    <r>
      <t>Blue parameters</t>
    </r>
    <r>
      <rPr>
        <sz val="11"/>
        <color theme="1"/>
        <rFont val="Calibri"/>
        <family val="2"/>
        <scheme val="minor"/>
      </rPr>
      <t xml:space="preserve"> are defined directly in the code and control the overall behavior of the model. These remain constant unless the code is modified. They include:</t>
    </r>
  </si>
  <si>
    <r>
      <t>Seed / Seed ID</t>
    </r>
    <r>
      <rPr>
        <sz val="11"/>
        <color theme="1"/>
        <rFont val="Calibri"/>
        <family val="2"/>
        <scheme val="minor"/>
      </rPr>
      <t>: Controls randomness for reproducibility.</t>
    </r>
  </si>
  <si>
    <r>
      <t>Weight of Objective (Energy)</t>
    </r>
    <r>
      <rPr>
        <sz val="11"/>
        <color theme="1"/>
        <rFont val="Calibri"/>
        <family val="2"/>
        <scheme val="minor"/>
      </rPr>
      <t>: Multiplier applied to the energy consumption objective.</t>
    </r>
  </si>
  <si>
    <r>
      <t>Weight of Objective (Time)</t>
    </r>
    <r>
      <rPr>
        <sz val="11"/>
        <color theme="1"/>
        <rFont val="Calibri"/>
        <family val="2"/>
        <scheme val="minor"/>
      </rPr>
      <t>: Multiplier applied to the travel time objective.</t>
    </r>
  </si>
  <si>
    <r>
      <t>% of Follower Energy Reduction</t>
    </r>
    <r>
      <rPr>
        <sz val="11"/>
        <color theme="1"/>
        <rFont val="Calibri"/>
        <family val="2"/>
        <scheme val="minor"/>
      </rPr>
      <t>: Assumed energy savings for follower vehicles (e.g., a follower consumes 1% less energy than the leader).</t>
    </r>
  </si>
  <si>
    <r>
      <t>Maximum Platoon Size</t>
    </r>
    <r>
      <rPr>
        <sz val="11"/>
        <color theme="1"/>
        <rFont val="Calibri"/>
        <family val="2"/>
        <scheme val="minor"/>
      </rPr>
      <t>: Upper limit on the number of vehicles in a platoon.</t>
    </r>
  </si>
  <si>
    <r>
      <t>Charging Slot Size (minutes)</t>
    </r>
    <r>
      <rPr>
        <sz val="11"/>
        <color theme="1"/>
        <rFont val="Calibri"/>
        <family val="2"/>
        <scheme val="minor"/>
      </rPr>
      <t>: Time interval assigned for each charging slot.</t>
    </r>
  </si>
  <si>
    <r>
      <t>Charging Capacity</t>
    </r>
    <r>
      <rPr>
        <sz val="11"/>
        <color theme="1"/>
        <rFont val="Calibri"/>
        <family val="2"/>
        <scheme val="minor"/>
      </rPr>
      <t>: Number of chargers available at each charging station.</t>
    </r>
  </si>
  <si>
    <t>These parameters are configuration settings that define how the model operates.</t>
  </si>
  <si>
    <r>
      <t>Yellow parameters</t>
    </r>
    <r>
      <rPr>
        <sz val="11"/>
        <color theme="1"/>
        <rFont val="Calibri"/>
        <family val="2"/>
        <scheme val="minor"/>
      </rPr>
      <t xml:space="preserve"> are generated dynamically from the Excel input files and depend on the dataset. They cannot be fixed in the code because their values vary with the input data. These include:</t>
    </r>
  </si>
  <si>
    <r>
      <t>Number of Vehicles</t>
    </r>
    <r>
      <rPr>
        <sz val="11"/>
        <color theme="1"/>
        <rFont val="Calibri"/>
        <family val="2"/>
        <scheme val="minor"/>
      </rPr>
      <t>: Total vehicles traveling on the highway, derived from input data (e.g., arrival times and trip details).</t>
    </r>
  </si>
  <si>
    <r>
      <t>Fraction of Short-Distance Vehicles</t>
    </r>
    <r>
      <rPr>
        <sz val="11"/>
        <color theme="1"/>
        <rFont val="Calibri"/>
        <family val="2"/>
        <scheme val="minor"/>
      </rPr>
      <t>: Determines the proportion of short- vs long-distance vehicles (e.g., 0 → 25% short-distance, 1 → 50%, 2 → 75%).</t>
    </r>
  </si>
  <si>
    <r>
      <t>Charging Point Frequency</t>
    </r>
    <r>
      <rPr>
        <sz val="11"/>
        <color theme="1"/>
        <rFont val="Calibri"/>
        <family val="2"/>
        <scheme val="minor"/>
      </rPr>
      <t>: Defines how often charging stations appear relative to platoon points (e.g., 1: every point, 2: every two points, etc.).</t>
    </r>
  </si>
  <si>
    <r>
      <t>Average Distance</t>
    </r>
    <r>
      <rPr>
        <sz val="11"/>
        <color theme="1"/>
        <rFont val="Calibri"/>
        <family val="2"/>
        <scheme val="minor"/>
      </rPr>
      <t>: Average spacing between platoon points, based on the dataset.</t>
    </r>
  </si>
  <si>
    <r>
      <t>Due Window Length</t>
    </r>
    <r>
      <rPr>
        <sz val="11"/>
        <color theme="1"/>
        <rFont val="Calibri"/>
        <family val="2"/>
        <scheme val="minor"/>
      </rPr>
      <t>: Additional allowable travel time for vehicles, derived from input conditions.</t>
    </r>
  </si>
  <si>
    <r>
      <t>blue parameters configure the model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yellow parameters reflect real input data and are computed at runtime</t>
    </r>
    <r>
      <rPr>
        <sz val="11"/>
        <color theme="1"/>
        <rFont val="Calibri"/>
        <family val="2"/>
        <scheme val="minor"/>
      </rPr>
      <t xml:space="preserve">. For example, the </t>
    </r>
    <r>
      <rPr>
        <i/>
        <sz val="11"/>
        <color theme="1"/>
        <rFont val="Calibri"/>
        <family val="2"/>
        <scheme val="minor"/>
      </rPr>
      <t>number of vehicles</t>
    </r>
    <r>
      <rPr>
        <sz val="11"/>
        <color theme="1"/>
        <rFont val="Calibri"/>
        <family val="2"/>
        <scheme val="minor"/>
      </rPr>
      <t xml:space="preserve"> cannot be predefined in the code because it depends on the Excel file, which includes varying information such as vehicle arrivals and trip characteristics.</t>
    </r>
  </si>
  <si>
    <t>Case ID</t>
  </si>
  <si>
    <t>Phase 1 Objective (energy)</t>
  </si>
  <si>
    <t>Phase 1 Objective (travel time)</t>
  </si>
  <si>
    <t>Phase 2 Objective</t>
  </si>
  <si>
    <t>Phase 2 Objective (energy)</t>
  </si>
  <si>
    <t>Phase 2 Objective (travel time)</t>
  </si>
  <si>
    <t>Input Excel File Name</t>
  </si>
  <si>
    <t>Output Excel File Name</t>
  </si>
  <si>
    <t>Phase 1 Objective (All Vehicles travel alone)</t>
  </si>
  <si>
    <t>Phase 1 CPU Time (s)</t>
  </si>
  <si>
    <t>Phase 2 CPU Time (s)</t>
  </si>
  <si>
    <t>Total CPU Time (s)</t>
  </si>
  <si>
    <t>Phase 1 (All Vehicles Travel Independently)</t>
  </si>
  <si>
    <r>
      <t>Objective Value (Total):</t>
    </r>
    <r>
      <rPr>
        <sz val="11"/>
        <color theme="1"/>
        <rFont val="Calibri"/>
        <family val="2"/>
        <scheme val="minor"/>
      </rPr>
      <t xml:space="preserve"> Overall objective when each vehicle travels alone</t>
    </r>
  </si>
  <si>
    <r>
      <t>Objective Value (Energy):</t>
    </r>
    <r>
      <rPr>
        <sz val="11"/>
        <color theme="1"/>
        <rFont val="Calibri"/>
        <family val="2"/>
        <scheme val="minor"/>
      </rPr>
      <t xml:space="preserve"> Total energy consumption</t>
    </r>
  </si>
  <si>
    <r>
      <t>Objective Value (Travel Time):</t>
    </r>
    <r>
      <rPr>
        <sz val="11"/>
        <color theme="1"/>
        <rFont val="Calibri"/>
        <family val="2"/>
        <scheme val="minor"/>
      </rPr>
      <t xml:space="preserve"> Total travel time</t>
    </r>
  </si>
  <si>
    <t>Phase 2 (After Path Reoptimization)</t>
  </si>
  <si>
    <r>
      <t>Objective Value (Total):</t>
    </r>
    <r>
      <rPr>
        <sz val="11"/>
        <color theme="1"/>
        <rFont val="Calibri"/>
        <family val="2"/>
        <scheme val="minor"/>
      </rPr>
      <t xml:space="preserve"> Overall objective after reoptimization</t>
    </r>
  </si>
  <si>
    <r>
      <t>Objective Value (Energy):</t>
    </r>
    <r>
      <rPr>
        <sz val="11"/>
        <color theme="1"/>
        <rFont val="Calibri"/>
        <family val="2"/>
        <scheme val="minor"/>
      </rPr>
      <t xml:space="preserve"> Total energy consumption after reoptimization</t>
    </r>
  </si>
  <si>
    <r>
      <t>Objective Value (Travel Time):</t>
    </r>
    <r>
      <rPr>
        <sz val="11"/>
        <color theme="1"/>
        <rFont val="Calibri"/>
        <family val="2"/>
        <scheme val="minor"/>
      </rPr>
      <t xml:space="preserve"> Total travel time after reoptimization</t>
    </r>
  </si>
  <si>
    <t>Computation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</si>
</sst>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4" borderId="0" xfId="0" applyFont="1" applyFill="1"/>
    <xf numFmtId="0" fontId="0" fillId="4" borderId="0" xfId="0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2" borderId="0" xfId="0" applyFont="1" applyFill="1"/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0" borderId="0" xfId="0" applyFont="1" applyAlignment="1">
      <alignment wrapText="1"/>
    </xf>
    <xf numFmtId="11" fontId="0" fillId="0" borderId="0" xfId="0" applyNumberFormat="1"/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2" fillId="6" borderId="0" xfId="0" applyFont="1" applyFill="1"/>
    <xf numFmtId="0" fontId="0" fillId="6" borderId="0" xfId="0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2" fillId="5" borderId="0" xfId="0" applyFont="1" applyFill="1"/>
    <xf numFmtId="0" fontId="0" fillId="5" borderId="0" xfId="0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7" borderId="0" xfId="0" applyFont="1" applyFill="1"/>
    <xf numFmtId="0" fontId="0" fillId="7" borderId="0" xfId="0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22EC-F40F-4B80-B869-1B97FA0E53B8}">
  <dimension ref="A1:XED11"/>
  <sheetViews>
    <sheetView tabSelected="1" topLeftCell="J1" workbookViewId="0">
      <selection activeCell="O7" sqref="O7"/>
    </sheetView>
  </sheetViews>
  <sheetFormatPr defaultRowHeight="14.4" x14ac:dyDescent="0.3"/>
  <cols>
    <col min="1" max="1" width="7.44140625" bestFit="1" customWidth="1"/>
    <col min="2" max="2" width="5.33203125" bestFit="1" customWidth="1"/>
    <col min="3" max="3" width="7.5546875" bestFit="1" customWidth="1"/>
    <col min="4" max="4" width="9.88671875" bestFit="1" customWidth="1"/>
    <col min="5" max="5" width="7.6640625" bestFit="1" customWidth="1"/>
    <col min="6" max="6" width="9.5546875" customWidth="1"/>
    <col min="7" max="7" width="7.88671875" bestFit="1" customWidth="1"/>
    <col min="8" max="8" width="8.88671875" bestFit="1" customWidth="1"/>
    <col min="9" max="9" width="8.44140625" bestFit="1" customWidth="1"/>
    <col min="10" max="10" width="10.44140625" bestFit="1" customWidth="1"/>
    <col min="11" max="11" width="10" bestFit="1" customWidth="1"/>
    <col min="12" max="13" width="8.5546875" bestFit="1" customWidth="1"/>
    <col min="14" max="14" width="23.6640625" bestFit="1" customWidth="1"/>
    <col min="15" max="15" width="21.5546875" bestFit="1" customWidth="1"/>
    <col min="16" max="16" width="9.5546875" customWidth="1"/>
    <col min="17" max="17" width="9.5546875" bestFit="1" customWidth="1"/>
    <col min="18" max="18" width="8.44140625" bestFit="1" customWidth="1"/>
    <col min="19" max="21" width="9.5546875" bestFit="1" customWidth="1"/>
    <col min="22" max="22" width="7.6640625" bestFit="1" customWidth="1"/>
    <col min="23" max="24" width="9.5546875" bestFit="1" customWidth="1"/>
  </cols>
  <sheetData>
    <row r="1" spans="1:16358" ht="86.4" x14ac:dyDescent="0.3">
      <c r="A1" s="18" t="s">
        <v>29</v>
      </c>
      <c r="B1" s="2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4" t="s">
        <v>35</v>
      </c>
      <c r="O1" s="14" t="s">
        <v>36</v>
      </c>
      <c r="P1" s="17" t="s">
        <v>37</v>
      </c>
      <c r="Q1" s="17" t="s">
        <v>30</v>
      </c>
      <c r="R1" s="17" t="s">
        <v>31</v>
      </c>
      <c r="S1" s="16" t="s">
        <v>32</v>
      </c>
      <c r="T1" s="16" t="s">
        <v>33</v>
      </c>
      <c r="U1" s="16" t="s">
        <v>34</v>
      </c>
      <c r="V1" s="19" t="s">
        <v>38</v>
      </c>
      <c r="W1" s="19" t="s">
        <v>39</v>
      </c>
      <c r="X1" s="19" t="s">
        <v>40</v>
      </c>
      <c r="Y1" s="13"/>
      <c r="Z1" s="13"/>
      <c r="AA1" s="13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</row>
    <row r="2" spans="1:16358" x14ac:dyDescent="0.3">
      <c r="A2" s="1">
        <v>1</v>
      </c>
      <c r="B2" s="22">
        <v>1</v>
      </c>
      <c r="C2" s="22">
        <v>1</v>
      </c>
      <c r="D2" s="22">
        <v>1</v>
      </c>
      <c r="E2" s="22">
        <v>128</v>
      </c>
      <c r="F2" s="22">
        <v>5.0000000000000001E-3</v>
      </c>
      <c r="G2" s="22">
        <v>4</v>
      </c>
      <c r="H2" s="22">
        <v>30</v>
      </c>
      <c r="I2" s="22">
        <v>4</v>
      </c>
      <c r="J2" s="22">
        <v>1</v>
      </c>
      <c r="K2" s="22">
        <v>3</v>
      </c>
      <c r="L2" s="22">
        <v>50</v>
      </c>
      <c r="M2" s="22">
        <v>60</v>
      </c>
      <c r="N2" s="21" t="str">
        <f t="shared" ref="N2:N11" si="0">"input"&amp;B2&amp;"-"&amp;E2&amp;"-"&amp;J2&amp;"-"&amp;K2&amp;"-"&amp;L2&amp;"-"&amp;M2&amp;".xlsx"</f>
        <v>input1-128-1-3-50-60.xlsx</v>
      </c>
      <c r="O2" s="20" t="str">
        <f>"P1-alone_P2-FL_"&amp;A2&amp;".xlsx"</f>
        <v>P1-alone_P2-FL_1.xlsx</v>
      </c>
      <c r="P2" s="23">
        <v>1.83248840129923</v>
      </c>
      <c r="Q2" s="24">
        <v>0.999999999999996</v>
      </c>
      <c r="R2" s="23">
        <v>0.83248840129923696</v>
      </c>
      <c r="S2" s="25">
        <v>1.78532687734245</v>
      </c>
      <c r="T2" s="25">
        <v>0.94870312499999998</v>
      </c>
      <c r="U2" s="25">
        <v>0.83662375234245501</v>
      </c>
      <c r="V2" s="26">
        <v>0.236688400000275</v>
      </c>
      <c r="W2" s="26">
        <v>302.90680230000299</v>
      </c>
      <c r="X2" s="26">
        <v>303.14349070000299</v>
      </c>
      <c r="BQ2" s="12"/>
      <c r="EP2" s="12"/>
      <c r="EW2" s="12"/>
      <c r="FA2" s="12"/>
      <c r="IL2" s="12"/>
      <c r="LK2" s="12"/>
      <c r="LR2" s="12"/>
      <c r="LV2" s="12"/>
    </row>
    <row r="3" spans="1:16358" x14ac:dyDescent="0.3">
      <c r="A3" s="1">
        <f t="shared" ref="A3:A11" si="1">A2+1</f>
        <v>2</v>
      </c>
      <c r="B3" s="22">
        <v>2</v>
      </c>
      <c r="C3" s="22">
        <v>1</v>
      </c>
      <c r="D3" s="22">
        <v>1</v>
      </c>
      <c r="E3" s="22">
        <v>128</v>
      </c>
      <c r="F3" s="22">
        <v>5.0000000000000001E-3</v>
      </c>
      <c r="G3" s="22">
        <v>4</v>
      </c>
      <c r="H3" s="22">
        <v>30</v>
      </c>
      <c r="I3" s="22">
        <v>4</v>
      </c>
      <c r="J3" s="22">
        <v>1</v>
      </c>
      <c r="K3" s="22">
        <v>3</v>
      </c>
      <c r="L3" s="22">
        <v>50</v>
      </c>
      <c r="M3" s="22">
        <v>60</v>
      </c>
      <c r="N3" s="21" t="str">
        <f t="shared" si="0"/>
        <v>input2-128-1-3-50-60.xlsx</v>
      </c>
      <c r="O3" s="20" t="str">
        <f t="shared" ref="O3:O11" si="2">"P1-alone_P2-FL_"&amp;A3&amp;".xlsx"</f>
        <v>P1-alone_P2-FL_2.xlsx</v>
      </c>
      <c r="P3" s="23">
        <v>1.83248840129923</v>
      </c>
      <c r="Q3" s="24">
        <v>0.999999999999994</v>
      </c>
      <c r="R3" s="23">
        <v>0.83248840129923796</v>
      </c>
      <c r="S3" s="25">
        <v>1.7857538285518999</v>
      </c>
      <c r="T3" s="25">
        <v>0.95043593749999999</v>
      </c>
      <c r="U3" s="25">
        <v>0.83531789105190202</v>
      </c>
      <c r="V3" s="26">
        <v>0.27002849999917</v>
      </c>
      <c r="W3" s="26">
        <v>216.658999699997</v>
      </c>
      <c r="X3" s="26">
        <v>216.929028199996</v>
      </c>
      <c r="BQ3" s="12"/>
      <c r="EP3" s="12"/>
      <c r="EW3" s="12"/>
      <c r="FA3" s="12"/>
      <c r="IL3" s="12"/>
      <c r="LK3" s="12"/>
      <c r="LR3" s="12"/>
      <c r="LV3" s="12"/>
    </row>
    <row r="4" spans="1:16358" x14ac:dyDescent="0.3">
      <c r="A4" s="1">
        <f t="shared" si="1"/>
        <v>3</v>
      </c>
      <c r="B4" s="22">
        <v>3</v>
      </c>
      <c r="C4" s="22">
        <v>1</v>
      </c>
      <c r="D4" s="22">
        <v>1</v>
      </c>
      <c r="E4" s="22">
        <v>128</v>
      </c>
      <c r="F4" s="22">
        <v>5.0000000000000001E-3</v>
      </c>
      <c r="G4" s="22">
        <v>4</v>
      </c>
      <c r="H4" s="22">
        <v>30</v>
      </c>
      <c r="I4" s="22">
        <v>4</v>
      </c>
      <c r="J4" s="22">
        <v>1</v>
      </c>
      <c r="K4" s="22">
        <v>3</v>
      </c>
      <c r="L4" s="22">
        <v>50</v>
      </c>
      <c r="M4" s="22">
        <v>60</v>
      </c>
      <c r="N4" s="21" t="str">
        <f t="shared" si="0"/>
        <v>input3-128-1-3-50-60.xlsx</v>
      </c>
      <c r="O4" s="20" t="str">
        <f t="shared" si="2"/>
        <v>P1-alone_P2-FL_3.xlsx</v>
      </c>
      <c r="P4" s="23">
        <v>1.83248840129923</v>
      </c>
      <c r="Q4" s="24">
        <v>0.999999999999998</v>
      </c>
      <c r="R4" s="23">
        <v>0.83248840129923796</v>
      </c>
      <c r="S4" s="25">
        <v>1.78911656138715</v>
      </c>
      <c r="T4" s="25">
        <v>0.95503749999999898</v>
      </c>
      <c r="U4" s="25">
        <v>0.83407906138715604</v>
      </c>
      <c r="V4" s="26">
        <v>0.29539320000185398</v>
      </c>
      <c r="W4" s="26">
        <v>238.950062299991</v>
      </c>
      <c r="X4" s="26">
        <v>239.245455499993</v>
      </c>
      <c r="BQ4" s="12"/>
      <c r="EP4" s="12"/>
      <c r="EW4" s="12"/>
      <c r="FA4" s="12"/>
      <c r="IL4" s="12"/>
      <c r="LK4" s="12"/>
      <c r="LR4" s="12"/>
      <c r="LV4" s="12"/>
    </row>
    <row r="5" spans="1:16358" x14ac:dyDescent="0.3">
      <c r="A5" s="1">
        <f t="shared" si="1"/>
        <v>4</v>
      </c>
      <c r="B5" s="22">
        <v>4</v>
      </c>
      <c r="C5" s="22">
        <v>1</v>
      </c>
      <c r="D5" s="22">
        <v>1</v>
      </c>
      <c r="E5" s="22">
        <v>128</v>
      </c>
      <c r="F5" s="22">
        <v>5.0000000000000001E-3</v>
      </c>
      <c r="G5" s="22">
        <v>4</v>
      </c>
      <c r="H5" s="22">
        <v>30</v>
      </c>
      <c r="I5" s="22">
        <v>4</v>
      </c>
      <c r="J5" s="22">
        <v>1</v>
      </c>
      <c r="K5" s="22">
        <v>3</v>
      </c>
      <c r="L5" s="22">
        <v>50</v>
      </c>
      <c r="M5" s="22">
        <v>60</v>
      </c>
      <c r="N5" s="21" t="str">
        <f t="shared" si="0"/>
        <v>input4-128-1-3-50-60.xlsx</v>
      </c>
      <c r="O5" s="20" t="str">
        <f t="shared" si="2"/>
        <v>P1-alone_P2-FL_4.xlsx</v>
      </c>
      <c r="P5" s="23">
        <v>1.833081997151</v>
      </c>
      <c r="Q5" s="24">
        <v>0.999999999999994</v>
      </c>
      <c r="R5" s="23">
        <v>0.83308199715100695</v>
      </c>
      <c r="S5" s="25">
        <v>1.78556931563845</v>
      </c>
      <c r="T5" s="25">
        <v>0.94889843750000102</v>
      </c>
      <c r="U5" s="25">
        <v>0.83667087813845298</v>
      </c>
      <c r="V5" s="26">
        <v>0.39418900000237</v>
      </c>
      <c r="W5" s="26">
        <v>542.80704120000098</v>
      </c>
      <c r="X5" s="26">
        <v>543.20123020000301</v>
      </c>
      <c r="BQ5" s="12"/>
      <c r="EP5" s="12"/>
      <c r="EW5" s="12"/>
      <c r="FA5" s="12"/>
      <c r="IL5" s="12"/>
      <c r="LK5" s="12"/>
      <c r="LR5" s="12"/>
      <c r="LV5" s="12"/>
    </row>
    <row r="6" spans="1:16358" x14ac:dyDescent="0.3">
      <c r="A6" s="1">
        <f t="shared" si="1"/>
        <v>5</v>
      </c>
      <c r="B6" s="22">
        <v>5</v>
      </c>
      <c r="C6" s="22">
        <v>1</v>
      </c>
      <c r="D6" s="22">
        <v>1</v>
      </c>
      <c r="E6" s="22">
        <v>128</v>
      </c>
      <c r="F6" s="22">
        <v>5.0000000000000001E-3</v>
      </c>
      <c r="G6" s="22">
        <v>4</v>
      </c>
      <c r="H6" s="22">
        <v>30</v>
      </c>
      <c r="I6" s="22">
        <v>4</v>
      </c>
      <c r="J6" s="22">
        <v>1</v>
      </c>
      <c r="K6" s="22">
        <v>3</v>
      </c>
      <c r="L6" s="22">
        <v>50</v>
      </c>
      <c r="M6" s="22">
        <v>60</v>
      </c>
      <c r="N6" s="21" t="str">
        <f t="shared" si="0"/>
        <v>input5-128-1-3-50-60.xlsx</v>
      </c>
      <c r="O6" s="20" t="str">
        <f t="shared" si="2"/>
        <v>P1-alone_P2-FL_5.xlsx</v>
      </c>
      <c r="P6" s="23">
        <v>1.83248840129923</v>
      </c>
      <c r="Q6" s="24">
        <v>0.999999999999996</v>
      </c>
      <c r="R6" s="23">
        <v>0.83248840129923796</v>
      </c>
      <c r="S6" s="25">
        <v>1.7804503939827501</v>
      </c>
      <c r="T6" s="25">
        <v>0.94498906249474501</v>
      </c>
      <c r="U6" s="25">
        <v>0.83546133148801305</v>
      </c>
      <c r="V6" s="26">
        <v>0.35348570000132801</v>
      </c>
      <c r="W6" s="26">
        <v>287.33630029999699</v>
      </c>
      <c r="X6" s="26">
        <v>287.689785999999</v>
      </c>
      <c r="BQ6" s="12"/>
      <c r="EP6" s="12"/>
      <c r="EW6" s="12"/>
      <c r="FA6" s="12"/>
      <c r="FX6" s="12"/>
      <c r="FZ6" s="12"/>
      <c r="IL6" s="12"/>
      <c r="LK6" s="12"/>
      <c r="LR6" s="12"/>
      <c r="LV6" s="12"/>
      <c r="MS6" s="12"/>
      <c r="MU6" s="12"/>
    </row>
    <row r="7" spans="1:16358" x14ac:dyDescent="0.3">
      <c r="A7" s="1">
        <f t="shared" si="1"/>
        <v>6</v>
      </c>
      <c r="B7" s="22">
        <v>1</v>
      </c>
      <c r="C7" s="22">
        <v>1</v>
      </c>
      <c r="D7" s="22">
        <v>1</v>
      </c>
      <c r="E7" s="22">
        <v>256</v>
      </c>
      <c r="F7" s="22">
        <v>5.0000000000000001E-3</v>
      </c>
      <c r="G7" s="22">
        <v>4</v>
      </c>
      <c r="H7" s="22">
        <v>30</v>
      </c>
      <c r="I7" s="22">
        <v>6</v>
      </c>
      <c r="J7" s="22">
        <v>1</v>
      </c>
      <c r="K7" s="22">
        <v>3</v>
      </c>
      <c r="L7" s="22">
        <v>50</v>
      </c>
      <c r="M7" s="22">
        <v>60</v>
      </c>
      <c r="N7" s="21" t="str">
        <f t="shared" si="0"/>
        <v>input1-256-1-3-50-60.xlsx</v>
      </c>
      <c r="O7" s="20" t="str">
        <f t="shared" si="2"/>
        <v>P1-alone_P2-FL_6.xlsx</v>
      </c>
      <c r="P7" s="23">
        <v>1.83258178117915</v>
      </c>
      <c r="Q7" s="24">
        <v>0.999999999999997</v>
      </c>
      <c r="R7" s="23">
        <v>0.83258178117915604</v>
      </c>
      <c r="S7" s="25">
        <v>1.8202943319324401</v>
      </c>
      <c r="T7" s="25">
        <v>0.97050859374999698</v>
      </c>
      <c r="U7" s="25">
        <v>0.84978573818244496</v>
      </c>
      <c r="V7" s="26">
        <v>0.77009069999621704</v>
      </c>
      <c r="W7" s="26">
        <v>600.751102299997</v>
      </c>
      <c r="X7" s="26">
        <v>601.52119299999299</v>
      </c>
      <c r="BQ7" s="12"/>
      <c r="IL7" s="12"/>
    </row>
    <row r="8" spans="1:16358" x14ac:dyDescent="0.3">
      <c r="A8" s="1">
        <f t="shared" si="1"/>
        <v>7</v>
      </c>
      <c r="B8" s="22">
        <v>2</v>
      </c>
      <c r="C8" s="22">
        <v>1</v>
      </c>
      <c r="D8" s="22">
        <v>1</v>
      </c>
      <c r="E8" s="22">
        <v>256</v>
      </c>
      <c r="F8" s="22">
        <v>5.0000000000000001E-3</v>
      </c>
      <c r="G8" s="22">
        <v>4</v>
      </c>
      <c r="H8" s="22">
        <v>30</v>
      </c>
      <c r="I8" s="22">
        <v>6</v>
      </c>
      <c r="J8" s="22">
        <v>1</v>
      </c>
      <c r="K8" s="22">
        <v>3</v>
      </c>
      <c r="L8" s="22">
        <v>50</v>
      </c>
      <c r="M8" s="22">
        <v>60</v>
      </c>
      <c r="N8" s="21" t="str">
        <f t="shared" si="0"/>
        <v>input2-256-1-3-50-60.xlsx</v>
      </c>
      <c r="O8" s="20" t="str">
        <f t="shared" si="2"/>
        <v>P1-alone_P2-FL_7.xlsx</v>
      </c>
      <c r="P8" s="23">
        <v>1.8324760595354599</v>
      </c>
      <c r="Q8" s="24">
        <v>0.999999999999997</v>
      </c>
      <c r="R8" s="23">
        <v>0.83247605953546899</v>
      </c>
      <c r="S8" s="25">
        <v>1.77752156719893</v>
      </c>
      <c r="T8" s="25">
        <v>0.94110312500000004</v>
      </c>
      <c r="U8" s="25">
        <v>0.83641844219893502</v>
      </c>
      <c r="V8" s="26">
        <v>0.78943180000351199</v>
      </c>
      <c r="W8" s="26">
        <v>599.45193720001396</v>
      </c>
      <c r="X8" s="26">
        <v>600.24136900001702</v>
      </c>
      <c r="BQ8" s="12"/>
      <c r="EP8" s="12"/>
      <c r="EW8" s="12"/>
      <c r="FA8" s="12"/>
      <c r="IL8" s="12"/>
      <c r="LK8" s="12"/>
      <c r="LR8" s="12"/>
      <c r="LV8" s="12"/>
    </row>
    <row r="9" spans="1:16358" x14ac:dyDescent="0.3">
      <c r="A9" s="1">
        <f t="shared" si="1"/>
        <v>8</v>
      </c>
      <c r="B9" s="22">
        <v>3</v>
      </c>
      <c r="C9" s="22">
        <v>1</v>
      </c>
      <c r="D9" s="22">
        <v>1</v>
      </c>
      <c r="E9" s="22">
        <v>256</v>
      </c>
      <c r="F9" s="22">
        <v>5.0000000000000001E-3</v>
      </c>
      <c r="G9" s="22">
        <v>4</v>
      </c>
      <c r="H9" s="22">
        <v>30</v>
      </c>
      <c r="I9" s="22">
        <v>6</v>
      </c>
      <c r="J9" s="22">
        <v>1</v>
      </c>
      <c r="K9" s="22">
        <v>3</v>
      </c>
      <c r="L9" s="22">
        <v>50</v>
      </c>
      <c r="M9" s="22">
        <v>60</v>
      </c>
      <c r="N9" s="21" t="str">
        <f t="shared" si="0"/>
        <v>input3-256-1-3-50-60.xlsx</v>
      </c>
      <c r="O9" s="20" t="str">
        <f t="shared" si="2"/>
        <v>P1-alone_P2-FL_8.xlsx</v>
      </c>
      <c r="P9" s="23">
        <v>1.8343130550162201</v>
      </c>
      <c r="Q9" s="24">
        <v>0.999999999999999</v>
      </c>
      <c r="R9" s="23">
        <v>0.83431305501622899</v>
      </c>
      <c r="S9" s="25">
        <v>1.7784626883672201</v>
      </c>
      <c r="T9" s="25">
        <v>0.94094140625004496</v>
      </c>
      <c r="U9" s="25">
        <v>0.83752128211717902</v>
      </c>
      <c r="V9" s="26">
        <v>0.57759890000306702</v>
      </c>
      <c r="W9" s="26">
        <v>599.59585900003003</v>
      </c>
      <c r="X9" s="26">
        <v>600.17345790003299</v>
      </c>
      <c r="BQ9" s="12"/>
      <c r="EP9" s="12"/>
      <c r="EW9" s="12"/>
      <c r="FA9" s="12"/>
      <c r="IL9" s="12"/>
      <c r="LK9" s="12"/>
      <c r="LR9" s="12"/>
      <c r="LV9" s="12"/>
    </row>
    <row r="10" spans="1:16358" x14ac:dyDescent="0.3">
      <c r="A10" s="1">
        <f t="shared" si="1"/>
        <v>9</v>
      </c>
      <c r="B10" s="22">
        <v>4</v>
      </c>
      <c r="C10" s="22">
        <v>1</v>
      </c>
      <c r="D10" s="22">
        <v>1</v>
      </c>
      <c r="E10" s="22">
        <v>256</v>
      </c>
      <c r="F10" s="22">
        <v>5.0000000000000001E-3</v>
      </c>
      <c r="G10" s="22">
        <v>4</v>
      </c>
      <c r="H10" s="22">
        <v>30</v>
      </c>
      <c r="I10" s="22">
        <v>6</v>
      </c>
      <c r="J10" s="22">
        <v>1</v>
      </c>
      <c r="K10" s="22">
        <v>3</v>
      </c>
      <c r="L10" s="22">
        <v>50</v>
      </c>
      <c r="M10" s="22">
        <v>60</v>
      </c>
      <c r="N10" s="21" t="str">
        <f t="shared" si="0"/>
        <v>input4-256-1-3-50-60.xlsx</v>
      </c>
      <c r="O10" s="20" t="str">
        <f t="shared" si="2"/>
        <v>P1-alone_P2-FL_9.xlsx</v>
      </c>
      <c r="P10" s="23">
        <v>1.8324772198831201</v>
      </c>
      <c r="Q10" s="24">
        <v>0.999999999999997</v>
      </c>
      <c r="R10" s="23">
        <v>0.83247721988312395</v>
      </c>
      <c r="S10" s="25">
        <v>1.77520842811503</v>
      </c>
      <c r="T10" s="25">
        <v>0.94229531249558496</v>
      </c>
      <c r="U10" s="25">
        <v>0.83291311561944603</v>
      </c>
      <c r="V10" s="26">
        <v>0.62266380000073696</v>
      </c>
      <c r="W10" s="26">
        <v>599.52680149998196</v>
      </c>
      <c r="X10" s="26">
        <v>600.14946529998201</v>
      </c>
      <c r="BQ10" s="12"/>
      <c r="EP10" s="12"/>
      <c r="EW10" s="12"/>
      <c r="FA10" s="12"/>
      <c r="IL10" s="12"/>
      <c r="LK10" s="12"/>
      <c r="LR10" s="12"/>
      <c r="LV10" s="12"/>
    </row>
    <row r="11" spans="1:16358" x14ac:dyDescent="0.3">
      <c r="A11" s="1">
        <f t="shared" si="1"/>
        <v>10</v>
      </c>
      <c r="B11" s="22">
        <v>5</v>
      </c>
      <c r="C11" s="22">
        <v>1</v>
      </c>
      <c r="D11" s="22">
        <v>1</v>
      </c>
      <c r="E11" s="22">
        <v>256</v>
      </c>
      <c r="F11" s="22">
        <v>5.0000000000000001E-3</v>
      </c>
      <c r="G11" s="22">
        <v>4</v>
      </c>
      <c r="H11" s="22">
        <v>30</v>
      </c>
      <c r="I11" s="22">
        <v>6</v>
      </c>
      <c r="J11" s="22">
        <v>1</v>
      </c>
      <c r="K11" s="22">
        <v>3</v>
      </c>
      <c r="L11" s="22">
        <v>50</v>
      </c>
      <c r="M11" s="22">
        <v>60</v>
      </c>
      <c r="N11" s="21" t="str">
        <f t="shared" si="0"/>
        <v>input5-256-1-3-50-60.xlsx</v>
      </c>
      <c r="O11" s="20" t="str">
        <f t="shared" si="2"/>
        <v>P1-alone_P2-FL_10.xlsx</v>
      </c>
      <c r="P11" s="23">
        <v>1.8339301599953599</v>
      </c>
      <c r="Q11" s="24">
        <v>0.999999999999998</v>
      </c>
      <c r="R11" s="23">
        <v>0.83393015999536602</v>
      </c>
      <c r="S11" s="25">
        <v>1.8165570244771401</v>
      </c>
      <c r="T11" s="25">
        <v>0.96309218749999703</v>
      </c>
      <c r="U11" s="25">
        <v>0.85346483697714803</v>
      </c>
      <c r="V11" s="26">
        <v>0.78711340000154395</v>
      </c>
      <c r="W11" s="26">
        <v>599.42067090001296</v>
      </c>
      <c r="X11" s="26">
        <v>600.20778430001496</v>
      </c>
      <c r="BQ11" s="12"/>
      <c r="EP11" s="12"/>
      <c r="EW11" s="12"/>
      <c r="FA11" s="12"/>
      <c r="IL11" s="12"/>
      <c r="LK11" s="12"/>
      <c r="LR11" s="12"/>
      <c r="LV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AB4E-5C3B-4064-AD02-2F5639BFE85D}">
  <dimension ref="A1:A41"/>
  <sheetViews>
    <sheetView workbookViewId="0">
      <selection activeCell="A8" sqref="A8"/>
    </sheetView>
  </sheetViews>
  <sheetFormatPr defaultRowHeight="14.4" x14ac:dyDescent="0.3"/>
  <cols>
    <col min="1" max="1" width="177.5546875" bestFit="1" customWidth="1"/>
  </cols>
  <sheetData>
    <row r="1" spans="1:1" ht="18" x14ac:dyDescent="0.3">
      <c r="A1" s="4" t="s">
        <v>12</v>
      </c>
    </row>
    <row r="3" spans="1:1" x14ac:dyDescent="0.3">
      <c r="A3" s="5" t="s">
        <v>13</v>
      </c>
    </row>
    <row r="4" spans="1:1" x14ac:dyDescent="0.3">
      <c r="A4" s="6"/>
    </row>
    <row r="5" spans="1:1" x14ac:dyDescent="0.3">
      <c r="A5" s="7" t="s">
        <v>14</v>
      </c>
    </row>
    <row r="6" spans="1:1" x14ac:dyDescent="0.3">
      <c r="A6" s="7" t="s">
        <v>15</v>
      </c>
    </row>
    <row r="7" spans="1:1" x14ac:dyDescent="0.3">
      <c r="A7" s="7" t="s">
        <v>16</v>
      </c>
    </row>
    <row r="8" spans="1:1" x14ac:dyDescent="0.3">
      <c r="A8" s="7" t="s">
        <v>17</v>
      </c>
    </row>
    <row r="9" spans="1:1" x14ac:dyDescent="0.3">
      <c r="A9" s="7" t="s">
        <v>18</v>
      </c>
    </row>
    <row r="10" spans="1:1" x14ac:dyDescent="0.3">
      <c r="A10" s="7" t="s">
        <v>19</v>
      </c>
    </row>
    <row r="11" spans="1:1" x14ac:dyDescent="0.3">
      <c r="A11" s="7" t="s">
        <v>20</v>
      </c>
    </row>
    <row r="12" spans="1:1" x14ac:dyDescent="0.3">
      <c r="A12" t="s">
        <v>21</v>
      </c>
    </row>
    <row r="15" spans="1:1" x14ac:dyDescent="0.3">
      <c r="A15" s="8" t="s">
        <v>22</v>
      </c>
    </row>
    <row r="16" spans="1:1" x14ac:dyDescent="0.3">
      <c r="A16" s="9"/>
    </row>
    <row r="17" spans="1:1" x14ac:dyDescent="0.3">
      <c r="A17" s="10" t="s">
        <v>23</v>
      </c>
    </row>
    <row r="18" spans="1:1" x14ac:dyDescent="0.3">
      <c r="A18" s="10" t="s">
        <v>24</v>
      </c>
    </row>
    <row r="19" spans="1:1" x14ac:dyDescent="0.3">
      <c r="A19" s="10" t="s">
        <v>25</v>
      </c>
    </row>
    <row r="20" spans="1:1" x14ac:dyDescent="0.3">
      <c r="A20" s="10" t="s">
        <v>26</v>
      </c>
    </row>
    <row r="21" spans="1:1" x14ac:dyDescent="0.3">
      <c r="A21" s="10" t="s">
        <v>27</v>
      </c>
    </row>
    <row r="23" spans="1:1" ht="28.8" x14ac:dyDescent="0.3">
      <c r="A23" s="11" t="s">
        <v>28</v>
      </c>
    </row>
    <row r="25" spans="1:1" x14ac:dyDescent="0.3">
      <c r="A25" s="27" t="s">
        <v>41</v>
      </c>
    </row>
    <row r="26" spans="1:1" x14ac:dyDescent="0.3">
      <c r="A26" s="28"/>
    </row>
    <row r="27" spans="1:1" x14ac:dyDescent="0.3">
      <c r="A27" s="29" t="s">
        <v>42</v>
      </c>
    </row>
    <row r="28" spans="1:1" x14ac:dyDescent="0.3">
      <c r="A28" s="29" t="s">
        <v>43</v>
      </c>
    </row>
    <row r="29" spans="1:1" x14ac:dyDescent="0.3">
      <c r="A29" s="29" t="s">
        <v>44</v>
      </c>
    </row>
    <row r="31" spans="1:1" x14ac:dyDescent="0.3">
      <c r="A31" s="30" t="s">
        <v>45</v>
      </c>
    </row>
    <row r="32" spans="1:1" x14ac:dyDescent="0.3">
      <c r="A32" s="31"/>
    </row>
    <row r="33" spans="1:1" x14ac:dyDescent="0.3">
      <c r="A33" s="32" t="s">
        <v>46</v>
      </c>
    </row>
    <row r="34" spans="1:1" x14ac:dyDescent="0.3">
      <c r="A34" s="32" t="s">
        <v>47</v>
      </c>
    </row>
    <row r="35" spans="1:1" x14ac:dyDescent="0.3">
      <c r="A35" s="32" t="s">
        <v>48</v>
      </c>
    </row>
    <row r="37" spans="1:1" x14ac:dyDescent="0.3">
      <c r="A37" s="33" t="s">
        <v>49</v>
      </c>
    </row>
    <row r="38" spans="1:1" x14ac:dyDescent="0.3">
      <c r="A38" s="34"/>
    </row>
    <row r="39" spans="1:1" x14ac:dyDescent="0.3">
      <c r="A39" s="35" t="s">
        <v>38</v>
      </c>
    </row>
    <row r="40" spans="1:1" x14ac:dyDescent="0.3">
      <c r="A40" s="35" t="s">
        <v>39</v>
      </c>
    </row>
    <row r="41" spans="1:1" x14ac:dyDescent="0.3">
      <c r="A41" s="3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Var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beelink</dc:creator>
  <cp:lastModifiedBy>Ridwan Reza</cp:lastModifiedBy>
  <dcterms:created xsi:type="dcterms:W3CDTF">2015-06-05T18:17:20Z</dcterms:created>
  <dcterms:modified xsi:type="dcterms:W3CDTF">2026-04-23T05:22:34Z</dcterms:modified>
</cp:coreProperties>
</file>